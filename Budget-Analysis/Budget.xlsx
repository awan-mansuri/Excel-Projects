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st\Excel\project\"/>
    </mc:Choice>
  </mc:AlternateContent>
  <xr:revisionPtr revIDLastSave="0" documentId="8_{1F70A0A5-B1B8-423C-842F-A1F6B4A5369D}" xr6:coauthVersionLast="47" xr6:coauthVersionMax="47" xr10:uidLastSave="{00000000-0000-0000-0000-000000000000}"/>
  <bookViews>
    <workbookView xWindow="-108" yWindow="-108" windowWidth="23256" windowHeight="12456" activeTab="1" xr2:uid="{2A7B8428-C757-473D-90E5-E48E8558D231}"/>
  </bookViews>
  <sheets>
    <sheet name="Budget" sheetId="2" r:id="rId1"/>
    <sheet name="Dashboard" sheetId="1" r:id="rId2"/>
  </sheets>
  <definedNames>
    <definedName name="ExternalData_1" localSheetId="0" hidden="1">Budget!$A$1:$F$24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2" l="1"/>
  <c r="F13" i="2" a="1"/>
  <c r="F13" i="2" s="1"/>
  <c r="F12" i="2" a="1"/>
  <c r="F12" i="2" s="1"/>
  <c r="B23" i="2"/>
  <c r="F3" i="2" a="1"/>
  <c r="F3" i="2" s="1"/>
  <c r="F4" i="2" a="1"/>
  <c r="F4" i="2" s="1"/>
  <c r="F5" i="2" a="1"/>
  <c r="F5" i="2" s="1"/>
  <c r="F6" i="2" a="1"/>
  <c r="F6" i="2"/>
  <c r="F7" i="2" a="1"/>
  <c r="F7" i="2" s="1"/>
  <c r="F8" i="2" a="1"/>
  <c r="F8" i="2" s="1"/>
  <c r="F9" i="2" a="1"/>
  <c r="F9" i="2" s="1"/>
  <c r="F10" i="2" a="1"/>
  <c r="F10" i="2"/>
  <c r="F11" i="2" a="1"/>
  <c r="F11" i="2" s="1"/>
  <c r="F14" i="2" a="1"/>
  <c r="F14" i="2" s="1"/>
  <c r="F15" i="2" a="1"/>
  <c r="F15" i="2" s="1"/>
  <c r="F16" i="2" a="1"/>
  <c r="F16" i="2" s="1"/>
  <c r="F17" i="2" a="1"/>
  <c r="F17" i="2" s="1"/>
  <c r="F18" i="2" a="1"/>
  <c r="F18" i="2" s="1"/>
  <c r="F19" i="2" a="1"/>
  <c r="F19" i="2" s="1"/>
  <c r="F20" i="2" a="1"/>
  <c r="F20" i="2" s="1"/>
  <c r="F2" i="2" a="1"/>
  <c r="F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27543D-735B-4131-B2BB-FBF02D1393CD}" keepAlive="1" name="Query - Budget" description="Connection to the 'Budget' query in the workbook." type="5" refreshedVersion="8" background="1" saveData="1">
    <dbPr connection="Provider=Microsoft.Mashup.OleDb.1;Data Source=$Workbook$;Location=Budget;Extended Properties=&quot;&quot;" command="SELECT * FROM [Budge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<sst xmlns="http://schemas.openxmlformats.org/spreadsheetml/2006/main" count="51" uniqueCount="33">
  <si>
    <t>Category</t>
  </si>
  <si>
    <t>Budget</t>
  </si>
  <si>
    <t>Priority</t>
  </si>
  <si>
    <t>Actual Spent</t>
  </si>
  <si>
    <t>% Budget used</t>
  </si>
  <si>
    <t>Status</t>
  </si>
  <si>
    <t>Alcohol &amp; Bars</t>
  </si>
  <si>
    <t>Low</t>
  </si>
  <si>
    <t>Auto Insurance</t>
  </si>
  <si>
    <t>Coffee Shops</t>
  </si>
  <si>
    <t>Electronics &amp; Software</t>
  </si>
  <si>
    <t>Entertainment</t>
  </si>
  <si>
    <t>Fast Food</t>
  </si>
  <si>
    <t>Gas &amp; Fuel</t>
  </si>
  <si>
    <t>Groceries</t>
  </si>
  <si>
    <t>Haircut</t>
  </si>
  <si>
    <t>Home Improvement</t>
  </si>
  <si>
    <t>Internet</t>
  </si>
  <si>
    <t>Mobile Phone</t>
  </si>
  <si>
    <t>Mortgage &amp; Rent</t>
  </si>
  <si>
    <t>High</t>
  </si>
  <si>
    <t>Movies &amp; DVDs</t>
  </si>
  <si>
    <t>Music</t>
  </si>
  <si>
    <t>Restaurants</t>
  </si>
  <si>
    <t>Shopping</t>
  </si>
  <si>
    <t>Television</t>
  </si>
  <si>
    <t>Utilities</t>
  </si>
  <si>
    <t>Total Budget</t>
  </si>
  <si>
    <t xml:space="preserve">Highest Budget </t>
  </si>
  <si>
    <t xml:space="preserve">Lowest Budget </t>
  </si>
  <si>
    <t>Budget Dashboard</t>
  </si>
  <si>
    <t>Total Spend</t>
  </si>
  <si>
    <t>Total 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</si>
</sst>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2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NumberFormat="1"/>
    <xf numFmtId="9" fontId="0" fillId="0" borderId="0" xfId="1" applyFont="1"/>
    <xf numFmtId="0" fontId="2" fillId="2" borderId="0" xfId="0" applyFont="1" applyFill="1"/>
    <xf numFmtId="0" fontId="0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65" fontId="0" fillId="0" borderId="0" xfId="0" applyNumberFormat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6B6B"/>
      <color rgb="FF1F38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Budget vs Actual Spending by Category</a:t>
            </a:r>
            <a:endParaRPr lang="en-IN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F38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6B6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Budget</c:v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cat>
            <c:strLit>
              <c:ptCount val="19"/>
              <c:pt idx="0">
                <c:v>Alcohol &amp; Bars</c:v>
              </c:pt>
              <c:pt idx="1">
                <c:v>Auto Insurance</c:v>
              </c:pt>
              <c:pt idx="2">
                <c:v>Coffee Shops</c:v>
              </c:pt>
              <c:pt idx="3">
                <c:v>Electronics &amp; Software</c:v>
              </c:pt>
              <c:pt idx="4">
                <c:v>Entertainment</c:v>
              </c:pt>
              <c:pt idx="5">
                <c:v>Fast Food</c:v>
              </c:pt>
              <c:pt idx="6">
                <c:v>Gas &amp; Fuel</c:v>
              </c:pt>
              <c:pt idx="7">
                <c:v>Groceries</c:v>
              </c:pt>
              <c:pt idx="8">
                <c:v>Haircut</c:v>
              </c:pt>
              <c:pt idx="9">
                <c:v>Home Improvement</c:v>
              </c:pt>
              <c:pt idx="10">
                <c:v>Internet</c:v>
              </c:pt>
              <c:pt idx="11">
                <c:v>Mobile Phone</c:v>
              </c:pt>
              <c:pt idx="12">
                <c:v>Mortgage &amp; Rent</c:v>
              </c:pt>
              <c:pt idx="13">
                <c:v>Movies &amp; DVDs</c:v>
              </c:pt>
              <c:pt idx="14">
                <c:v>Music</c:v>
              </c:pt>
              <c:pt idx="15">
                <c:v>Restaurants</c:v>
              </c:pt>
              <c:pt idx="16">
                <c:v>Shopping</c:v>
              </c:pt>
              <c:pt idx="17">
                <c:v>Television</c:v>
              </c:pt>
              <c:pt idx="18">
                <c:v>Utilities</c:v>
              </c:pt>
            </c:strLit>
          </c:cat>
          <c:val>
            <c:numLit>
              <c:formatCode>General</c:formatCode>
              <c:ptCount val="19"/>
              <c:pt idx="0">
                <c:v>50</c:v>
              </c:pt>
              <c:pt idx="1">
                <c:v>75</c:v>
              </c:pt>
              <c:pt idx="2">
                <c:v>15</c:v>
              </c:pt>
              <c:pt idx="3">
                <c:v>0</c:v>
              </c:pt>
              <c:pt idx="4">
                <c:v>25</c:v>
              </c:pt>
              <c:pt idx="5">
                <c:v>15</c:v>
              </c:pt>
              <c:pt idx="6">
                <c:v>75</c:v>
              </c:pt>
              <c:pt idx="7">
                <c:v>150</c:v>
              </c:pt>
              <c:pt idx="8">
                <c:v>30</c:v>
              </c:pt>
              <c:pt idx="9">
                <c:v>250</c:v>
              </c:pt>
              <c:pt idx="10">
                <c:v>75</c:v>
              </c:pt>
              <c:pt idx="11">
                <c:v>65</c:v>
              </c:pt>
              <c:pt idx="12">
                <c:v>1100</c:v>
              </c:pt>
              <c:pt idx="13">
                <c:v>0</c:v>
              </c:pt>
              <c:pt idx="14">
                <c:v>11</c:v>
              </c:pt>
              <c:pt idx="15">
                <c:v>150</c:v>
              </c:pt>
              <c:pt idx="16">
                <c:v>100</c:v>
              </c:pt>
              <c:pt idx="17">
                <c:v>15</c:v>
              </c:pt>
              <c:pt idx="18">
                <c:v>150</c:v>
              </c:pt>
            </c:numLit>
          </c:val>
          <c:extLst>
            <c:ext xmlns:c16="http://schemas.microsoft.com/office/drawing/2014/chart" uri="{C3380CC4-5D6E-409C-BE32-E72D297353CC}">
              <c16:uniqueId val="{00000000-7B38-4E36-9C07-0571051AE27B}"/>
            </c:ext>
          </c:extLst>
        </c:ser>
        <c:ser>
          <c:idx val="1"/>
          <c:order val="1"/>
          <c:tx>
            <c:v>Sum of Actual Spent</c:v>
          </c:tx>
          <c:spPr>
            <a:solidFill>
              <a:srgbClr val="FF6B6B"/>
            </a:solidFill>
            <a:ln>
              <a:noFill/>
            </a:ln>
            <a:effectLst/>
          </c:spPr>
          <c:invertIfNegative val="0"/>
          <c:cat>
            <c:strLit>
              <c:ptCount val="19"/>
              <c:pt idx="0">
                <c:v>Alcohol &amp; Bars</c:v>
              </c:pt>
              <c:pt idx="1">
                <c:v>Auto Insurance</c:v>
              </c:pt>
              <c:pt idx="2">
                <c:v>Coffee Shops</c:v>
              </c:pt>
              <c:pt idx="3">
                <c:v>Electronics &amp; Software</c:v>
              </c:pt>
              <c:pt idx="4">
                <c:v>Entertainment</c:v>
              </c:pt>
              <c:pt idx="5">
                <c:v>Fast Food</c:v>
              </c:pt>
              <c:pt idx="6">
                <c:v>Gas &amp; Fuel</c:v>
              </c:pt>
              <c:pt idx="7">
                <c:v>Groceries</c:v>
              </c:pt>
              <c:pt idx="8">
                <c:v>Haircut</c:v>
              </c:pt>
              <c:pt idx="9">
                <c:v>Home Improvement</c:v>
              </c:pt>
              <c:pt idx="10">
                <c:v>Internet</c:v>
              </c:pt>
              <c:pt idx="11">
                <c:v>Mobile Phone</c:v>
              </c:pt>
              <c:pt idx="12">
                <c:v>Mortgage &amp; Rent</c:v>
              </c:pt>
              <c:pt idx="13">
                <c:v>Movies &amp; DVDs</c:v>
              </c:pt>
              <c:pt idx="14">
                <c:v>Music</c:v>
              </c:pt>
              <c:pt idx="15">
                <c:v>Restaurants</c:v>
              </c:pt>
              <c:pt idx="16">
                <c:v>Shopping</c:v>
              </c:pt>
              <c:pt idx="17">
                <c:v>Television</c:v>
              </c:pt>
              <c:pt idx="18">
                <c:v>Utilities</c:v>
              </c:pt>
            </c:strLit>
          </c:cat>
          <c:val>
            <c:numLit>
              <c:formatCode>General</c:formatCode>
              <c:ptCount val="19"/>
              <c:pt idx="0">
                <c:v>65</c:v>
              </c:pt>
              <c:pt idx="1">
                <c:v>75</c:v>
              </c:pt>
              <c:pt idx="2">
                <c:v>22</c:v>
              </c:pt>
              <c:pt idx="3">
                <c:v>45</c:v>
              </c:pt>
              <c:pt idx="4">
                <c:v>30</c:v>
              </c:pt>
              <c:pt idx="5">
                <c:v>28</c:v>
              </c:pt>
              <c:pt idx="6">
                <c:v>68</c:v>
              </c:pt>
              <c:pt idx="7">
                <c:v>178</c:v>
              </c:pt>
              <c:pt idx="8">
                <c:v>30</c:v>
              </c:pt>
              <c:pt idx="9">
                <c:v>95</c:v>
              </c:pt>
              <c:pt idx="10">
                <c:v>75</c:v>
              </c:pt>
              <c:pt idx="11">
                <c:v>65</c:v>
              </c:pt>
              <c:pt idx="12">
                <c:v>1100</c:v>
              </c:pt>
              <c:pt idx="13">
                <c:v>15</c:v>
              </c:pt>
              <c:pt idx="14">
                <c:v>11</c:v>
              </c:pt>
              <c:pt idx="15">
                <c:v>210</c:v>
              </c:pt>
              <c:pt idx="16">
                <c:v>145</c:v>
              </c:pt>
              <c:pt idx="17">
                <c:v>15</c:v>
              </c:pt>
              <c:pt idx="18">
                <c:v>162</c:v>
              </c:pt>
            </c:numLit>
          </c:val>
          <c:extLst>
            <c:ext xmlns:c16="http://schemas.microsoft.com/office/drawing/2014/chart" uri="{C3380CC4-5D6E-409C-BE32-E72D297353CC}">
              <c16:uniqueId val="{00000001-7B38-4E36-9C07-0571051AE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0271872"/>
        <c:axId val="1610268512"/>
      </c:barChart>
      <c:catAx>
        <c:axId val="1610271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268512"/>
        <c:crosses val="autoZero"/>
        <c:auto val="1"/>
        <c:lblAlgn val="ctr"/>
        <c:lblOffset val="100"/>
        <c:noMultiLvlLbl val="0"/>
      </c:catAx>
      <c:valAx>
        <c:axId val="16102685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Budget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27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Budget Used % by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Lit>
              <c:ptCount val="19"/>
              <c:pt idx="0">
                <c:v>Alcohol &amp; Bars</c:v>
              </c:pt>
              <c:pt idx="1">
                <c:v>Auto Insurance</c:v>
              </c:pt>
              <c:pt idx="2">
                <c:v>Coffee Shops</c:v>
              </c:pt>
              <c:pt idx="3">
                <c:v>Electronics &amp; Software</c:v>
              </c:pt>
              <c:pt idx="4">
                <c:v>Entertainment</c:v>
              </c:pt>
              <c:pt idx="5">
                <c:v>Fast Food</c:v>
              </c:pt>
              <c:pt idx="6">
                <c:v>Gas &amp; Fuel</c:v>
              </c:pt>
              <c:pt idx="7">
                <c:v>Groceries</c:v>
              </c:pt>
              <c:pt idx="8">
                <c:v>Haircut</c:v>
              </c:pt>
              <c:pt idx="9">
                <c:v>Home Improvement</c:v>
              </c:pt>
              <c:pt idx="10">
                <c:v>Internet</c:v>
              </c:pt>
              <c:pt idx="11">
                <c:v>Mobile Phone</c:v>
              </c:pt>
              <c:pt idx="12">
                <c:v>Mortgage &amp; Rent</c:v>
              </c:pt>
              <c:pt idx="13">
                <c:v>Movies &amp; DVDs</c:v>
              </c:pt>
              <c:pt idx="14">
                <c:v>Music</c:v>
              </c:pt>
              <c:pt idx="15">
                <c:v>Restaurants</c:v>
              </c:pt>
              <c:pt idx="16">
                <c:v>Shopping</c:v>
              </c:pt>
              <c:pt idx="17">
                <c:v>Television</c:v>
              </c:pt>
              <c:pt idx="18">
                <c:v>Utilities</c:v>
              </c:pt>
            </c:strLit>
          </c:cat>
          <c:val>
            <c:numLit>
              <c:formatCode>General</c:formatCode>
              <c:ptCount val="19"/>
              <c:pt idx="0">
                <c:v>0.76923076923076927</c:v>
              </c:pt>
              <c:pt idx="1">
                <c:v>1</c:v>
              </c:pt>
              <c:pt idx="2">
                <c:v>0.68181818181818177</c:v>
              </c:pt>
              <c:pt idx="3">
                <c:v>0</c:v>
              </c:pt>
              <c:pt idx="4">
                <c:v>0.83333333333333337</c:v>
              </c:pt>
              <c:pt idx="5">
                <c:v>0.5357142857142857</c:v>
              </c:pt>
              <c:pt idx="6">
                <c:v>1.1029411764705883</c:v>
              </c:pt>
              <c:pt idx="7">
                <c:v>0.84269662921348309</c:v>
              </c:pt>
              <c:pt idx="8">
                <c:v>1</c:v>
              </c:pt>
              <c:pt idx="9">
                <c:v>2.6315789473684212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0</c:v>
              </c:pt>
              <c:pt idx="14">
                <c:v>1</c:v>
              </c:pt>
              <c:pt idx="15">
                <c:v>0.7142857142857143</c:v>
              </c:pt>
              <c:pt idx="16">
                <c:v>0.68965517241379315</c:v>
              </c:pt>
              <c:pt idx="17">
                <c:v>1</c:v>
              </c:pt>
              <c:pt idx="18">
                <c:v>0.92592592592592593</c:v>
              </c:pt>
            </c:numLit>
          </c:val>
          <c:extLst>
            <c:ext xmlns:c16="http://schemas.microsoft.com/office/drawing/2014/chart" uri="{C3380CC4-5D6E-409C-BE32-E72D297353CC}">
              <c16:uniqueId val="{00000000-1B9D-4FF4-A061-41A535774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6520432"/>
        <c:axId val="396518032"/>
      </c:barChart>
      <c:valAx>
        <c:axId val="396518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% of Budget Used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520432"/>
        <c:crosses val="autoZero"/>
        <c:crossBetween val="between"/>
      </c:valAx>
      <c:catAx>
        <c:axId val="3965204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Category names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518032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Spending Distribution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10-4AC1-A89E-76C6850243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10-4AC1-A89E-76C6850243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10-4AC1-A89E-76C6850243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510-4AC1-A89E-76C6850243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510-4AC1-A89E-76C6850243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510-4AC1-A89E-76C6850243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510-4AC1-A89E-76C6850243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510-4AC1-A89E-76C6850243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510-4AC1-A89E-76C6850243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510-4AC1-A89E-76C6850243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510-4AC1-A89E-76C6850243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510-4AC1-A89E-76C68502439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510-4AC1-A89E-76C68502439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510-4AC1-A89E-76C68502439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510-4AC1-A89E-76C68502439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510-4AC1-A89E-76C68502439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7510-4AC1-A89E-76C68502439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7510-4AC1-A89E-76C68502439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7510-4AC1-A89E-76C6850243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12"/>
              <c:pt idx="0">
                <c:v>Alcohol &amp; Bars</c:v>
              </c:pt>
              <c:pt idx="1">
                <c:v>Auto Insurance</c:v>
              </c:pt>
              <c:pt idx="2">
                <c:v>Coffee Shops</c:v>
              </c:pt>
              <c:pt idx="3">
                <c:v>Entertainment</c:v>
              </c:pt>
              <c:pt idx="4">
                <c:v>Fast Food</c:v>
              </c:pt>
              <c:pt idx="5">
                <c:v>Gas &amp; Fuel</c:v>
              </c:pt>
              <c:pt idx="6">
                <c:v>Groceries</c:v>
              </c:pt>
              <c:pt idx="7">
                <c:v>Movies &amp; DVDs</c:v>
              </c:pt>
              <c:pt idx="8">
                <c:v>Music</c:v>
              </c:pt>
              <c:pt idx="9">
                <c:v>Restaurants</c:v>
              </c:pt>
              <c:pt idx="10">
                <c:v>Shopping</c:v>
              </c:pt>
              <c:pt idx="11">
                <c:v>Television</c:v>
              </c:pt>
            </c:strLit>
          </c:cat>
          <c:val>
            <c:numLit>
              <c:formatCode>General</c:formatCode>
              <c:ptCount val="12"/>
              <c:pt idx="0">
                <c:v>65</c:v>
              </c:pt>
              <c:pt idx="1">
                <c:v>75</c:v>
              </c:pt>
              <c:pt idx="2">
                <c:v>22</c:v>
              </c:pt>
              <c:pt idx="3">
                <c:v>30</c:v>
              </c:pt>
              <c:pt idx="4">
                <c:v>28</c:v>
              </c:pt>
              <c:pt idx="5">
                <c:v>68</c:v>
              </c:pt>
              <c:pt idx="6">
                <c:v>178</c:v>
              </c:pt>
              <c:pt idx="7">
                <c:v>15</c:v>
              </c:pt>
              <c:pt idx="8">
                <c:v>11</c:v>
              </c:pt>
              <c:pt idx="9">
                <c:v>210</c:v>
              </c:pt>
              <c:pt idx="10">
                <c:v>145</c:v>
              </c:pt>
              <c:pt idx="11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26-7510-4AC1-A89E-76C68502439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6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26064</xdr:colOff>
      <xdr:row>6</xdr:row>
      <xdr:rowOff>8586</xdr:rowOff>
    </xdr:from>
    <xdr:to>
      <xdr:col>8</xdr:col>
      <xdr:colOff>328717</xdr:colOff>
      <xdr:row>21</xdr:row>
      <xdr:rowOff>8585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DC8C6B-EB3A-4341-89CE-BF221BE18C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359228</xdr:colOff>
      <xdr:row>6</xdr:row>
      <xdr:rowOff>0</xdr:rowOff>
    </xdr:from>
    <xdr:to>
      <xdr:col>25</xdr:col>
      <xdr:colOff>326572</xdr:colOff>
      <xdr:row>21</xdr:row>
      <xdr:rowOff>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7E1E15-32C4-4435-A5D4-754F207D79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511629</xdr:colOff>
      <xdr:row>6</xdr:row>
      <xdr:rowOff>21771</xdr:rowOff>
    </xdr:from>
    <xdr:to>
      <xdr:col>16</xdr:col>
      <xdr:colOff>189341</xdr:colOff>
      <xdr:row>21</xdr:row>
      <xdr:rowOff>48004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4B2864D-9A3D-4131-AC8C-ECD6B1872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B63F2C-9DEB-4A10-B2F5-D875536926E9}" autoFormatId="16" applyNumberFormats="0" applyBorderFormats="0" applyFontFormats="0" applyPatternFormats="0" applyAlignmentFormats="0" applyWidthHeightFormats="0">
  <queryTableRefresh nextId="7">
    <queryTableFields count="6">
      <queryTableField id="1" name="Category" tableColumnId="1"/>
      <queryTableField id="2" name="Budget" tableColumnId="2"/>
      <queryTableField id="3" name="Priority" tableColumnId="3"/>
      <queryTableField id="4" name="Actual Spent" tableColumnId="4"/>
      <queryTableField id="5" name="% Budget used" tableColumnId="5"/>
      <queryTableField id="6" name="Statu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82CB11-7F35-4D9C-A446-EB7C06658D2C}" name="Budget" displayName="Budget" ref="A1:F24" tableType="queryTable" totalsRowShown="0">
  <autoFilter ref="A1:F24" xr:uid="{2B82CB11-7F35-4D9C-A446-EB7C06658D2C}"/>
  <tableColumns count="6">
    <tableColumn id="1" xr3:uid="{4D04F303-E115-4062-B45B-CDB794EC8FD2}" uniqueName="1" name="Category" queryTableFieldId="1" dataDxfId="1"/>
    <tableColumn id="2" xr3:uid="{D3EC7640-AD87-4775-AAC1-7AFDDBD91968}" uniqueName="2" name="Budget" queryTableFieldId="2"/>
    <tableColumn id="3" xr3:uid="{1B968445-4B35-4EE3-823F-CA8BB6A6F4D4}" uniqueName="3" name="Priority" queryTableFieldId="3" dataDxfId="0"/>
    <tableColumn id="4" xr3:uid="{7E90FAC2-3640-4B8C-B5F6-9FD9F40E9F22}" uniqueName="4" name="Actual Spent" queryTableFieldId="4"/>
    <tableColumn id="5" xr3:uid="{4F42DB45-47B8-4A5C-B992-569AB544CF39}" uniqueName="5" name="% Budget used" queryTableFieldId="5"/>
    <tableColumn id="6" xr3:uid="{BB0822B4-68B5-4406-9776-16FDD3BC381B}" uniqueName="6" name="Status" queryTableFieldId="6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7E029-BFAA-4B1D-8B2D-515ADEAF6A2E}">
  <dimension ref="A1:I40"/>
  <sheetViews>
    <sheetView workbookViewId="0">
      <selection activeCell="I40" sqref="I40"/>
    </sheetView>
  </sheetViews>
  <sheetFormatPr defaultRowHeight="14.4" x14ac:dyDescent="0.3"/>
  <cols>
    <col min="1" max="1" width="19.77734375" bestFit="1" customWidth="1"/>
    <col min="2" max="2" width="9.44140625" bestFit="1" customWidth="1"/>
    <col min="3" max="3" width="9.33203125" bestFit="1" customWidth="1"/>
    <col min="4" max="4" width="13.88671875" bestFit="1" customWidth="1"/>
    <col min="5" max="5" width="15.6640625" bestFit="1" customWidth="1"/>
    <col min="6" max="6" width="12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>
        <v>50</v>
      </c>
      <c r="C2" s="1" t="s">
        <v>7</v>
      </c>
      <c r="D2">
        <v>65</v>
      </c>
      <c r="E2" s="2">
        <v>0.76923076923076927</v>
      </c>
      <c r="F2" t="str" cm="1">
        <f t="array" ref="F2">_xlfn.SWITCH(TRUE,
B2=0, "No Budget Set —",
D2&gt;B2, "Overspent ⚠️",
D2/B2&gt;=0.8, "Almost Full 🔶",
D2=B2, "Exact ✅",
"On Track ✅")</f>
        <v>Overspent ⚠️</v>
      </c>
    </row>
    <row r="3" spans="1:6" x14ac:dyDescent="0.3">
      <c r="A3" s="1" t="s">
        <v>8</v>
      </c>
      <c r="B3" s="1">
        <v>75</v>
      </c>
      <c r="C3" s="1" t="s">
        <v>7</v>
      </c>
      <c r="D3">
        <v>75</v>
      </c>
      <c r="E3" s="2">
        <v>1</v>
      </c>
      <c r="F3" t="str" cm="1">
        <f t="array" ref="F3">_xlfn.SWITCH(TRUE,
B3=0, "No Budget Set —",
D3&gt;B3, "Overspent ⚠️",
D3/B3&gt;=0.8, "Almost Full 🔶",
D3=B3, "Exact ✅",
"On Track ✅")</f>
        <v>Almost Full 🔶</v>
      </c>
    </row>
    <row r="4" spans="1:6" x14ac:dyDescent="0.3">
      <c r="A4" s="1" t="s">
        <v>9</v>
      </c>
      <c r="B4" s="1">
        <v>15</v>
      </c>
      <c r="C4" s="1" t="s">
        <v>7</v>
      </c>
      <c r="D4">
        <v>22</v>
      </c>
      <c r="E4" s="2">
        <v>0.68181818181818177</v>
      </c>
      <c r="F4" t="str" cm="1">
        <f t="array" ref="F4">_xlfn.SWITCH(TRUE,
B4=0, "No Budget Set —",
D4&gt;B4, "Overspent ⚠️",
D4/B4&gt;=0.8, "Almost Full 🔶",
D4=B4, "Exact ✅",
"On Track ✅")</f>
        <v>Overspent ⚠️</v>
      </c>
    </row>
    <row r="5" spans="1:6" x14ac:dyDescent="0.3">
      <c r="A5" s="1" t="s">
        <v>10</v>
      </c>
      <c r="B5" s="1">
        <v>0</v>
      </c>
      <c r="C5" s="1" t="s">
        <v>7</v>
      </c>
      <c r="D5">
        <v>45</v>
      </c>
      <c r="E5" s="2">
        <v>0</v>
      </c>
      <c r="F5" t="str" cm="1">
        <f t="array" ref="F5">_xlfn.SWITCH(TRUE,
B5=0, "No Budget Set —",
D5&gt;B5, "Overspent ⚠️",
D5/B5&gt;=0.8, "Almost Full 🔶",
D5=B5, "Exact ✅",
"On Track ✅")</f>
        <v>No Budget Set —</v>
      </c>
    </row>
    <row r="6" spans="1:6" x14ac:dyDescent="0.3">
      <c r="A6" s="1" t="s">
        <v>11</v>
      </c>
      <c r="B6" s="1">
        <v>25</v>
      </c>
      <c r="C6" s="1" t="s">
        <v>7</v>
      </c>
      <c r="D6">
        <v>30</v>
      </c>
      <c r="E6" s="2">
        <v>0.83333333333333337</v>
      </c>
      <c r="F6" t="str" cm="1">
        <f t="array" ref="F6">_xlfn.SWITCH(TRUE,
B6=0, "No Budget Set —",
D6&gt;B6, "Overspent ⚠️",
D6/B6&gt;=0.8, "Almost Full 🔶",
D6=B6, "Exact ✅",
"On Track ✅")</f>
        <v>Overspent ⚠️</v>
      </c>
    </row>
    <row r="7" spans="1:6" x14ac:dyDescent="0.3">
      <c r="A7" s="1" t="s">
        <v>12</v>
      </c>
      <c r="B7" s="1">
        <v>15</v>
      </c>
      <c r="C7" s="1" t="s">
        <v>7</v>
      </c>
      <c r="D7">
        <v>28</v>
      </c>
      <c r="E7" s="2">
        <v>0.5357142857142857</v>
      </c>
      <c r="F7" t="str" cm="1">
        <f t="array" ref="F7">_xlfn.SWITCH(TRUE,
B7=0, "No Budget Set —",
D7&gt;B7, "Overspent ⚠️",
D7/B7&gt;=0.8, "Almost Full 🔶",
D7=B7, "Exact ✅",
"On Track ✅")</f>
        <v>Overspent ⚠️</v>
      </c>
    </row>
    <row r="8" spans="1:6" x14ac:dyDescent="0.3">
      <c r="A8" s="1" t="s">
        <v>13</v>
      </c>
      <c r="B8" s="1">
        <v>75</v>
      </c>
      <c r="C8" s="1" t="s">
        <v>7</v>
      </c>
      <c r="D8">
        <v>68</v>
      </c>
      <c r="E8" s="2">
        <v>1.1029411764705883</v>
      </c>
      <c r="F8" t="str" cm="1">
        <f t="array" ref="F8">_xlfn.SWITCH(TRUE,
B8=0, "No Budget Set —",
D8&gt;B8, "Overspent ⚠️",
D8/B8&gt;=0.8, "Almost Full 🔶",
D8=B8, "Exact ✅",
"On Track ✅")</f>
        <v>Almost Full 🔶</v>
      </c>
    </row>
    <row r="9" spans="1:6" x14ac:dyDescent="0.3">
      <c r="A9" s="1" t="s">
        <v>14</v>
      </c>
      <c r="B9" s="1">
        <v>150</v>
      </c>
      <c r="C9" s="1" t="s">
        <v>7</v>
      </c>
      <c r="D9">
        <v>178</v>
      </c>
      <c r="E9" s="2">
        <v>0.84269662921348309</v>
      </c>
      <c r="F9" t="str" cm="1">
        <f t="array" ref="F9">_xlfn.SWITCH(TRUE,
B9=0, "No Budget Set —",
D9&gt;B9, "Overspent ⚠️",
D9/B9&gt;=0.8, "Almost Full 🔶",
D9=B9, "Exact ✅",
"On Track ✅")</f>
        <v>Overspent ⚠️</v>
      </c>
    </row>
    <row r="10" spans="1:6" x14ac:dyDescent="0.3">
      <c r="A10" s="1" t="s">
        <v>15</v>
      </c>
      <c r="B10" s="1">
        <v>30</v>
      </c>
      <c r="C10" s="1" t="s">
        <v>7</v>
      </c>
      <c r="D10">
        <v>30</v>
      </c>
      <c r="E10" s="2">
        <v>1</v>
      </c>
      <c r="F10" t="str" cm="1">
        <f t="array" ref="F10">_xlfn.SWITCH(TRUE,
B10=0, "No Budget Set —",
D10&gt;B10, "Overspent ⚠️",
D10/B10&gt;=0.8, "Almost Full 🔶",
D10=B10, "Exact ✅",
"On Track ✅")</f>
        <v>Almost Full 🔶</v>
      </c>
    </row>
    <row r="11" spans="1:6" x14ac:dyDescent="0.3">
      <c r="A11" s="1" t="s">
        <v>16</v>
      </c>
      <c r="B11" s="1">
        <v>250</v>
      </c>
      <c r="C11" s="1" t="s">
        <v>7</v>
      </c>
      <c r="D11">
        <v>95</v>
      </c>
      <c r="E11" s="2">
        <v>2.6315789473684212</v>
      </c>
      <c r="F11" t="str" cm="1">
        <f t="array" ref="F11">_xlfn.SWITCH(TRUE,
B11=0, "No Budget Set —",
D11&gt;B11, "Overspent ⚠️",
D11/B11&gt;=0.8, "Almost Full 🔶",
D11=B11, "Exact ✅",
"On Track ✅")</f>
        <v>On Track ✅</v>
      </c>
    </row>
    <row r="12" spans="1:6" x14ac:dyDescent="0.3">
      <c r="A12" s="1" t="s">
        <v>17</v>
      </c>
      <c r="B12" s="1">
        <v>75</v>
      </c>
      <c r="C12" s="1" t="s">
        <v>7</v>
      </c>
      <c r="D12">
        <v>75</v>
      </c>
      <c r="E12" s="2">
        <v>1</v>
      </c>
      <c r="F12" t="str" cm="1">
        <f t="array" ref="F12">_xlfn.SWITCH(TRUE,
B12=0, "No Budget Set ",
D12&gt;B12, "Overspent ",
D12/B12&gt;=0.8, "Almost Full ",
D12=B12, "Exact ",
"On Track ")</f>
        <v xml:space="preserve">Almost Full </v>
      </c>
    </row>
    <row r="13" spans="1:6" x14ac:dyDescent="0.3">
      <c r="A13" s="1" t="s">
        <v>18</v>
      </c>
      <c r="B13" s="1">
        <v>65</v>
      </c>
      <c r="C13" s="1" t="s">
        <v>7</v>
      </c>
      <c r="D13">
        <v>65</v>
      </c>
      <c r="E13" s="2">
        <v>1</v>
      </c>
      <c r="F13" t="str" cm="1">
        <f t="array" ref="F13">_xlfn.SWITCH(TRUE,
B13=0, "No Budget Set ",
D13&gt;B13, "Overspent ",
D13/B13&gt;=0.8, "Almost Full ",
D13=B13, "Exact ",
"On Track ")</f>
        <v xml:space="preserve">Almost Full </v>
      </c>
    </row>
    <row r="14" spans="1:6" x14ac:dyDescent="0.3">
      <c r="A14" s="1" t="s">
        <v>19</v>
      </c>
      <c r="B14" s="1">
        <v>1100</v>
      </c>
      <c r="C14" s="1" t="s">
        <v>20</v>
      </c>
      <c r="D14">
        <v>1100</v>
      </c>
      <c r="E14" s="2">
        <v>1</v>
      </c>
      <c r="F14" t="str" cm="1">
        <f t="array" ref="F14">_xlfn.SWITCH(TRUE,
B14=0, "No Budget Set —",
D14&gt;B14, "Overspent ⚠️",
D14/B14&gt;=0.8, "Almost Full 🔶",
D14=B14, "Exact ✅",
"On Track ✅")</f>
        <v>Almost Full 🔶</v>
      </c>
    </row>
    <row r="15" spans="1:6" x14ac:dyDescent="0.3">
      <c r="A15" s="1" t="s">
        <v>21</v>
      </c>
      <c r="B15" s="1">
        <v>0</v>
      </c>
      <c r="C15" s="1" t="s">
        <v>7</v>
      </c>
      <c r="D15">
        <v>15</v>
      </c>
      <c r="E15" s="2">
        <v>0</v>
      </c>
      <c r="F15" t="str" cm="1">
        <f t="array" ref="F15">_xlfn.SWITCH(TRUE,
B15=0, "No Budget Set —",
D15&gt;B15, "Overspent ⚠️",
D15/B15&gt;=0.8, "Almost Full 🔶",
D15=B15, "Exact ✅",
"On Track ✅")</f>
        <v>No Budget Set —</v>
      </c>
    </row>
    <row r="16" spans="1:6" x14ac:dyDescent="0.3">
      <c r="A16" s="1" t="s">
        <v>22</v>
      </c>
      <c r="B16" s="1">
        <v>11</v>
      </c>
      <c r="C16" s="1" t="s">
        <v>7</v>
      </c>
      <c r="D16">
        <v>11</v>
      </c>
      <c r="E16" s="2">
        <v>1</v>
      </c>
      <c r="F16" t="str" cm="1">
        <f t="array" ref="F16">_xlfn.SWITCH(TRUE,
B16=0, "No Budget Set —",
D16&gt;B16, "Overspent ⚠️",
D16/B16&gt;=0.8, "Almost Full 🔶",
D16=B16, "Exact ✅",
"On Track ✅")</f>
        <v>Almost Full 🔶</v>
      </c>
    </row>
    <row r="17" spans="1:9" x14ac:dyDescent="0.3">
      <c r="A17" s="1" t="s">
        <v>23</v>
      </c>
      <c r="B17" s="1">
        <v>150</v>
      </c>
      <c r="C17" s="1" t="s">
        <v>7</v>
      </c>
      <c r="D17">
        <v>210</v>
      </c>
      <c r="E17" s="2">
        <v>0.7142857142857143</v>
      </c>
      <c r="F17" t="str" cm="1">
        <f t="array" ref="F17">_xlfn.SWITCH(TRUE,
B17=0, "No Budget Set —",
D17&gt;B17, "Overspent ⚠️",
D17/B17&gt;=0.8, "Almost Full 🔶",
D17=B17, "Exact ✅",
"On Track ✅")</f>
        <v>Overspent ⚠️</v>
      </c>
    </row>
    <row r="18" spans="1:9" x14ac:dyDescent="0.3">
      <c r="A18" s="1" t="s">
        <v>24</v>
      </c>
      <c r="B18" s="1">
        <v>100</v>
      </c>
      <c r="C18" s="1" t="s">
        <v>7</v>
      </c>
      <c r="D18">
        <v>145</v>
      </c>
      <c r="E18" s="2">
        <v>0.68965517241379315</v>
      </c>
      <c r="F18" t="str" cm="1">
        <f t="array" ref="F18">_xlfn.SWITCH(TRUE,
B18=0, "No Budget Set —",
D18&gt;B18, "Overspent ⚠️",
D18/B18&gt;=0.8, "Almost Full 🔶",
D18=B18, "Exact ✅",
"On Track ✅")</f>
        <v>Overspent ⚠️</v>
      </c>
    </row>
    <row r="19" spans="1:9" x14ac:dyDescent="0.3">
      <c r="A19" s="1" t="s">
        <v>25</v>
      </c>
      <c r="B19" s="1">
        <v>15</v>
      </c>
      <c r="C19" s="1" t="s">
        <v>7</v>
      </c>
      <c r="D19">
        <v>15</v>
      </c>
      <c r="E19" s="2">
        <v>1</v>
      </c>
      <c r="F19" t="str" cm="1">
        <f t="array" ref="F19">_xlfn.SWITCH(TRUE,
B19=0, "No Budget Set —",
D19&gt;B19, "Overspent ⚠️",
D19/B19&gt;=0.8, "Almost Full 🔶",
D19=B19, "Exact ✅",
"On Track ✅")</f>
        <v>Almost Full 🔶</v>
      </c>
    </row>
    <row r="20" spans="1:9" x14ac:dyDescent="0.3">
      <c r="A20" s="1" t="s">
        <v>26</v>
      </c>
      <c r="B20" s="1">
        <v>150</v>
      </c>
      <c r="C20" s="1" t="s">
        <v>7</v>
      </c>
      <c r="D20">
        <v>162</v>
      </c>
      <c r="E20" s="2">
        <v>0.92592592592592593</v>
      </c>
      <c r="F20" t="str" cm="1">
        <f t="array" ref="F20">_xlfn.SWITCH(TRUE,
B20=0, "No Budget Set —",
D20&gt;B20, "Overspent ⚠️",
D20/B20&gt;=0.8, "Almost Full 🔶",
D20=B20, "Exact ✅",
"On Track ✅")</f>
        <v>Overspent ⚠️</v>
      </c>
    </row>
    <row r="21" spans="1:9" x14ac:dyDescent="0.3">
      <c r="A21" s="1"/>
      <c r="C21" s="1"/>
      <c r="I21" s="6"/>
    </row>
    <row r="22" spans="1:9" x14ac:dyDescent="0.3">
      <c r="A22" s="1" t="s">
        <v>27</v>
      </c>
      <c r="B22">
        <v>2351</v>
      </c>
      <c r="C22" s="1"/>
      <c r="D22">
        <f>SUM(D2:D20)</f>
        <v>2434</v>
      </c>
    </row>
    <row r="23" spans="1:9" x14ac:dyDescent="0.3">
      <c r="A23" s="1" t="s">
        <v>28</v>
      </c>
      <c r="B23">
        <f>MAX(B2:B20)</f>
        <v>1100</v>
      </c>
      <c r="C23" s="1"/>
    </row>
    <row r="24" spans="1:9" x14ac:dyDescent="0.3">
      <c r="A24" s="1" t="s">
        <v>29</v>
      </c>
      <c r="B24">
        <v>0</v>
      </c>
      <c r="C24" s="1"/>
    </row>
    <row r="40" spans="9:9" x14ac:dyDescent="0.3">
      <c r="I40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6797E-8DC6-40E9-B258-6CA2A5AB6CA4}">
  <dimension ref="B1:O4"/>
  <sheetViews>
    <sheetView tabSelected="1" zoomScale="85" zoomScaleNormal="85" workbookViewId="0">
      <selection activeCell="D26" sqref="D26"/>
    </sheetView>
  </sheetViews>
  <sheetFormatPr defaultRowHeight="14.4" x14ac:dyDescent="0.3"/>
  <cols>
    <col min="1" max="1" width="8.88671875" style="3"/>
    <col min="2" max="2" width="8.77734375" style="3" customWidth="1"/>
    <col min="3" max="3" width="10.44140625" style="3" customWidth="1"/>
    <col min="4" max="16384" width="8.88671875" style="3"/>
  </cols>
  <sheetData>
    <row r="1" spans="2:15" ht="23.4" x14ac:dyDescent="0.45">
      <c r="B1" s="7" t="s">
        <v>27</v>
      </c>
      <c r="C1" s="7"/>
      <c r="E1" s="7" t="s">
        <v>31</v>
      </c>
      <c r="F1" s="7"/>
      <c r="H1" s="9" t="s">
        <v>32</v>
      </c>
      <c r="I1" s="9"/>
    </row>
    <row r="2" spans="2:15" x14ac:dyDescent="0.3">
      <c r="B2" s="8">
        <v>2351</v>
      </c>
      <c r="C2" s="8"/>
      <c r="E2" s="8">
        <v>2434</v>
      </c>
      <c r="F2" s="8"/>
      <c r="H2" s="10">
        <v>-83</v>
      </c>
      <c r="I2" s="10"/>
      <c r="L2" s="5" t="s">
        <v>30</v>
      </c>
      <c r="M2" s="4"/>
      <c r="N2" s="4"/>
      <c r="O2" s="4"/>
    </row>
    <row r="3" spans="2:15" x14ac:dyDescent="0.3">
      <c r="B3" s="8"/>
      <c r="C3" s="8"/>
      <c r="E3" s="8"/>
      <c r="F3" s="8"/>
      <c r="H3" s="10"/>
      <c r="I3" s="10"/>
      <c r="L3" s="4"/>
      <c r="M3" s="4"/>
      <c r="N3" s="4"/>
      <c r="O3" s="4"/>
    </row>
    <row r="4" spans="2:15" x14ac:dyDescent="0.3">
      <c r="L4" s="4"/>
      <c r="M4" s="4"/>
      <c r="N4" s="4"/>
      <c r="O4" s="4"/>
    </row>
  </sheetData>
  <mergeCells count="7">
    <mergeCell ref="L2:O4"/>
    <mergeCell ref="B1:C1"/>
    <mergeCell ref="B2:C3"/>
    <mergeCell ref="E1:F1"/>
    <mergeCell ref="E2:F3"/>
    <mergeCell ref="H1:I1"/>
    <mergeCell ref="H2:I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E91007-1D34-47E6-B534-970CB35622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awan mansuri</dc:creator>
  <cp:lastModifiedBy>awan mansuri</cp:lastModifiedBy>
  <dcterms:created xsi:type="dcterms:W3CDTF">2026-06-12T05:16:08Z</dcterms:created>
  <dcterms:modified xsi:type="dcterms:W3CDTF">2026-06-12T06:44:33Z</dcterms:modified>
</cp:coreProperties>
</file>